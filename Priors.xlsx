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ilan\Documents\Supernova Cosmology\Supernova-Cosmology\"/>
    </mc:Choice>
  </mc:AlternateContent>
  <xr:revisionPtr revIDLastSave="0" documentId="13_ncr:1_{4F2230BC-85B7-4851-B601-1B230150AAF8}" xr6:coauthVersionLast="47" xr6:coauthVersionMax="47" xr10:uidLastSave="{00000000-0000-0000-0000-000000000000}"/>
  <bookViews>
    <workbookView xWindow="-108" yWindow="-108" windowWidth="23256" windowHeight="13176" activeTab="3" xr2:uid="{94A17BBC-0C8D-4BC8-BE19-B6A80FA616E3}"/>
  </bookViews>
  <sheets>
    <sheet name="H0" sheetId="1" r:id="rId1"/>
    <sheet name="Sheet1" sheetId="6" r:id="rId2"/>
    <sheet name="k" sheetId="2" r:id="rId3"/>
    <sheet name="Mass density" sheetId="3" r:id="rId4"/>
    <sheet name="DE density" sheetId="4" r:id="rId5"/>
    <sheet name="LPeak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3" l="1"/>
  <c r="A21" i="3"/>
  <c r="H21" i="6"/>
  <c r="E21" i="6"/>
  <c r="G21" i="6"/>
  <c r="G20" i="6"/>
  <c r="I19" i="6"/>
  <c r="E19" i="6"/>
  <c r="H19" i="6"/>
  <c r="I18" i="6"/>
  <c r="H18" i="6"/>
  <c r="I17" i="6"/>
  <c r="H17" i="6"/>
  <c r="G17" i="6"/>
  <c r="D21" i="6"/>
  <c r="E17" i="6"/>
  <c r="D20" i="6"/>
  <c r="F17" i="6"/>
  <c r="E18" i="6"/>
  <c r="F18" i="6"/>
  <c r="F19" i="6" s="1"/>
  <c r="D17" i="6"/>
  <c r="B40" i="1"/>
  <c r="A40" i="1"/>
  <c r="B28" i="1"/>
  <c r="A28" i="1"/>
  <c r="D12" i="1"/>
  <c r="C12" i="1"/>
  <c r="D10" i="3"/>
  <c r="C10" i="3"/>
  <c r="B4" i="3"/>
</calcChain>
</file>

<file path=xl/sharedStrings.xml><?xml version="1.0" encoding="utf-8"?>
<sst xmlns="http://schemas.openxmlformats.org/spreadsheetml/2006/main" count="175" uniqueCount="102">
  <si>
    <t>Value</t>
  </si>
  <si>
    <t>Error</t>
  </si>
  <si>
    <t>Source</t>
  </si>
  <si>
    <t>Pantheon +</t>
  </si>
  <si>
    <t>Paper</t>
  </si>
  <si>
    <t>https://iopscience.iop.org/article/10.3847/1538-4357/ac8e04/pdf</t>
  </si>
  <si>
    <t>SH0ES</t>
  </si>
  <si>
    <t>https://iopscience.iop.org/article/10.3847/2041-8213/ac5c5b/pdf</t>
  </si>
  <si>
    <t>Chosen prior</t>
  </si>
  <si>
    <t>Range</t>
  </si>
  <si>
    <t>Distribution</t>
  </si>
  <si>
    <t>65-75</t>
  </si>
  <si>
    <t>uniform</t>
  </si>
  <si>
    <t>Planck</t>
  </si>
  <si>
    <t>https://www.aanda.org/articles/aa/pdf/2014/11/aa21591-13.pdf</t>
  </si>
  <si>
    <t>-1 -&gt; 1</t>
  </si>
  <si>
    <t>Pantheon Plus</t>
  </si>
  <si>
    <t>0.3-0.35</t>
  </si>
  <si>
    <t>Uniform</t>
  </si>
  <si>
    <t>+0.018 -0.016</t>
  </si>
  <si>
    <t>0.65-0.7</t>
  </si>
  <si>
    <t>Mean</t>
  </si>
  <si>
    <t>2x10^32 - 5x10^32</t>
  </si>
  <si>
    <t>2.5x10^32</t>
  </si>
  <si>
    <t>+0.028, -0.026</t>
  </si>
  <si>
    <t>Unity</t>
  </si>
  <si>
    <t>For LCDM</t>
  </si>
  <si>
    <t>St dev</t>
  </si>
  <si>
    <t>stdev</t>
  </si>
  <si>
    <t>grav lensing of SNIa</t>
  </si>
  <si>
    <t>standard candle</t>
  </si>
  <si>
    <t>https://iopscience.iop.org/article/10.3847/1538-4357/ad9928</t>
  </si>
  <si>
    <t>https://iopscience.iop.org/article/10.3847/1538-4357/ad8c21</t>
  </si>
  <si>
    <t>https://www.science.org/doi/10.1126/science.abh1322</t>
  </si>
  <si>
    <t>grav lensing of SN</t>
  </si>
  <si>
    <t>kilonova</t>
  </si>
  <si>
    <t>cosmic voids</t>
  </si>
  <si>
    <t>https://www.aanda.org/articles/aa/full_html/2024/02/aa47572-23/aa47572-23.html</t>
  </si>
  <si>
    <t>https://www.aanda.org/articles/aa/full_html/2023/10/aa46306-23/aa46306-23.html</t>
  </si>
  <si>
    <t>CMB</t>
  </si>
  <si>
    <t>inverse distance ladder</t>
  </si>
  <si>
    <t>https://academic.oup.com/mnras/article/486/2/2184/5435505?login=false</t>
  </si>
  <si>
    <t>gamma ray attenuation</t>
  </si>
  <si>
    <t>https://iopscience.iop.org/article/10.3847/1538-4357/ab4a0e</t>
  </si>
  <si>
    <t>https://www.aanda.org/articles/aa/full_html/2020/09/aa33910-18/aa33910-18.html</t>
  </si>
  <si>
    <t>grav waves</t>
  </si>
  <si>
    <t>https://www.nature.com/articles/s41550-019-0820-1</t>
  </si>
  <si>
    <t>grav lensing of galaxy</t>
  </si>
  <si>
    <t>https://academic.oup.com/mnras/article/501/1/784/6006283?login=false</t>
  </si>
  <si>
    <t>CMB lensing</t>
  </si>
  <si>
    <t>https://academic.oup.com/mnras/article/501/2/1823/6022167?login=false</t>
  </si>
  <si>
    <t>Parameter</t>
  </si>
  <si>
    <t>Omega_L</t>
  </si>
  <si>
    <t>2018 Planck TT,TE,EE+lowE+lensing+BAO</t>
  </si>
  <si>
    <t>H0</t>
  </si>
  <si>
    <t>https://iopscience.iop.org/article/10.3847/2041-8213/ac5c5b</t>
  </si>
  <si>
    <t>Research team</t>
  </si>
  <si>
    <t>CDL/Cepheids</t>
  </si>
  <si>
    <t>CDL/TRGB</t>
  </si>
  <si>
    <t>0.6 (stat) 1.6 (sys)</t>
  </si>
  <si>
    <t>CCHP</t>
  </si>
  <si>
    <t>https://iopscience.iop.org/article/10.3847/1538-4357/ac0e95</t>
  </si>
  <si>
    <t>+4.1, -3.2</t>
  </si>
  <si>
    <t>grav lensing</t>
  </si>
  <si>
    <t>+12, -8</t>
  </si>
  <si>
    <t>standard siren</t>
  </si>
  <si>
    <t>https://www.aanda.org/articles/aa/full_html/2020/11/aa38861-20/aa38861-20.html</t>
  </si>
  <si>
    <t>https://iopscience.iop.org/article/10.3847/1538-4357/ac74bb</t>
  </si>
  <si>
    <t>https://journals.aps.org/prd/abstract/10.1103/PhysRevD.103.083533</t>
  </si>
  <si>
    <t>https://www.aanda.org/articles/aa/pdf/2020/09/aa33910-18.pdf</t>
  </si>
  <si>
    <t>Stdev</t>
  </si>
  <si>
    <t>Model</t>
  </si>
  <si>
    <t>LCDM</t>
  </si>
  <si>
    <t>wCDM</t>
  </si>
  <si>
    <t>w0w1CDM</t>
  </si>
  <si>
    <t>w0w1CDM+H0</t>
  </si>
  <si>
    <t>CPL</t>
  </si>
  <si>
    <t>log</t>
  </si>
  <si>
    <t>sin</t>
  </si>
  <si>
    <t>Msin</t>
  </si>
  <si>
    <t>Omegak</t>
  </si>
  <si>
    <t>OmegaM</t>
  </si>
  <si>
    <t>OmegaL</t>
  </si>
  <si>
    <t>w0</t>
  </si>
  <si>
    <t>w1</t>
  </si>
  <si>
    <t>My result</t>
  </si>
  <si>
    <t>+1.53, -1.65</t>
  </si>
  <si>
    <t>Difference with Planck</t>
  </si>
  <si>
    <t>Difference with Pantheon</t>
  </si>
  <si>
    <t>CDL</t>
  </si>
  <si>
    <t>Union3</t>
  </si>
  <si>
    <t>https://arxiv.org/pdf/2311.12098</t>
  </si>
  <si>
    <t>https://www.aanda.org/articles/aa/abs/2020/09/aa33910-18/aa33910-18.html</t>
  </si>
  <si>
    <t>+0.056, -0.044</t>
  </si>
  <si>
    <t>HSC</t>
  </si>
  <si>
    <t>https://journals.aps.org/prd/abstract/10.1103/PhysRevD.108.123518</t>
  </si>
  <si>
    <t>0.41, 0.26</t>
  </si>
  <si>
    <t>https://academic.oup.com/mnras/article/513/2/2152/6568994</t>
  </si>
  <si>
    <t>BAO</t>
  </si>
  <si>
    <t>DESI</t>
  </si>
  <si>
    <t>https://arxiv.org/abs/2503.14738</t>
  </si>
  <si>
    <t>mean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</si>
</sst>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1"/>
    <xf numFmtId="0" fontId="0" fillId="0" borderId="0" xfId="0" quotePrefix="1"/>
    <xf numFmtId="0" fontId="2" fillId="0" borderId="0" xfId="0" applyFont="1"/>
    <xf numFmtId="2" fontId="0" fillId="0" borderId="0" xfId="0" applyNumberFormat="1"/>
    <xf numFmtId="16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anda.org/articles/aa/pdf/2014/11/aa21591-13.pdf" TargetMode="External"/><Relationship Id="rId2" Type="http://schemas.openxmlformats.org/officeDocument/2006/relationships/hyperlink" Target="https://iopscience.iop.org/article/10.3847/2041-8213/ac5c5b/pdf" TargetMode="External"/><Relationship Id="rId1" Type="http://schemas.openxmlformats.org/officeDocument/2006/relationships/hyperlink" Target="https://iopscience.iop.org/article/10.3847/1538-4357/ac8e04/pdf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aanda.org/articles/aa/pdf/2014/11/aa21591-13.pdf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https://iopscience.iop.org/article/10.3847/1538-4357/ac8e04/pdf" TargetMode="External"/><Relationship Id="rId1" Type="http://schemas.openxmlformats.org/officeDocument/2006/relationships/hyperlink" Target="https://www.aanda.org/articles/aa/pdf/2014/11/aa21591-13.pdf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hyperlink" Target="https://iopscience.iop.org/article/10.3847/1538-4357/ac8e04/pdf" TargetMode="External"/><Relationship Id="rId1" Type="http://schemas.openxmlformats.org/officeDocument/2006/relationships/hyperlink" Target="https://www.aanda.org/articles/aa/pdf/2014/11/aa21591-13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24E0E-6873-45D1-95E5-DD51AA5E1604}">
  <dimension ref="A1:E41"/>
  <sheetViews>
    <sheetView topLeftCell="A24" workbookViewId="0">
      <selection activeCell="B40" sqref="B40"/>
    </sheetView>
  </sheetViews>
  <sheetFormatPr defaultRowHeight="14.4" x14ac:dyDescent="0.3"/>
  <cols>
    <col min="1" max="1" width="11.21875" bestFit="1" customWidth="1"/>
    <col min="2" max="3" width="19.6640625" bestFit="1" customWidth="1"/>
    <col min="4" max="4" width="55.21875" bestFit="1" customWidth="1"/>
  </cols>
  <sheetData>
    <row r="1" spans="1:4" x14ac:dyDescent="0.3">
      <c r="A1" t="s">
        <v>0</v>
      </c>
      <c r="B1" t="s">
        <v>1</v>
      </c>
      <c r="C1" t="s">
        <v>2</v>
      </c>
      <c r="D1" t="s">
        <v>4</v>
      </c>
    </row>
    <row r="2" spans="1:4" x14ac:dyDescent="0.3">
      <c r="A2">
        <v>73.5</v>
      </c>
      <c r="B2">
        <v>1.1000000000000001</v>
      </c>
      <c r="C2" t="s">
        <v>3</v>
      </c>
      <c r="D2" s="1" t="s">
        <v>5</v>
      </c>
    </row>
    <row r="3" spans="1:4" x14ac:dyDescent="0.3">
      <c r="A3">
        <v>73.3</v>
      </c>
      <c r="B3">
        <v>1.04</v>
      </c>
      <c r="C3" t="s">
        <v>6</v>
      </c>
      <c r="D3" s="1" t="s">
        <v>7</v>
      </c>
    </row>
    <row r="4" spans="1:4" x14ac:dyDescent="0.3">
      <c r="A4">
        <v>67.3</v>
      </c>
      <c r="B4">
        <v>1.2</v>
      </c>
      <c r="C4" t="s">
        <v>13</v>
      </c>
      <c r="D4" s="1" t="s">
        <v>14</v>
      </c>
    </row>
    <row r="9" spans="1:4" x14ac:dyDescent="0.3">
      <c r="A9" t="s">
        <v>8</v>
      </c>
    </row>
    <row r="10" spans="1:4" x14ac:dyDescent="0.3">
      <c r="A10" t="s">
        <v>9</v>
      </c>
      <c r="B10" t="s">
        <v>10</v>
      </c>
      <c r="C10" t="s">
        <v>21</v>
      </c>
      <c r="D10" t="s">
        <v>28</v>
      </c>
    </row>
    <row r="11" spans="1:4" x14ac:dyDescent="0.3">
      <c r="A11" t="s">
        <v>11</v>
      </c>
      <c r="B11" t="s">
        <v>12</v>
      </c>
      <c r="C11">
        <v>70</v>
      </c>
    </row>
    <row r="12" spans="1:4" x14ac:dyDescent="0.3">
      <c r="C12">
        <f>(A4+A3)/2</f>
        <v>70.3</v>
      </c>
      <c r="D12">
        <f>SQRT(B3^2+B4^2)</f>
        <v>1.5879546593023368</v>
      </c>
    </row>
    <row r="13" spans="1:4" x14ac:dyDescent="0.3">
      <c r="C13">
        <v>70.3</v>
      </c>
      <c r="D13">
        <v>1.6</v>
      </c>
    </row>
    <row r="15" spans="1:4" x14ac:dyDescent="0.3">
      <c r="A15" t="s">
        <v>0</v>
      </c>
      <c r="B15" t="s">
        <v>2</v>
      </c>
      <c r="D15" t="s">
        <v>4</v>
      </c>
    </row>
    <row r="16" spans="1:4" x14ac:dyDescent="0.3">
      <c r="A16">
        <v>75.7</v>
      </c>
      <c r="B16" t="s">
        <v>29</v>
      </c>
      <c r="D16" t="s">
        <v>31</v>
      </c>
    </row>
    <row r="17" spans="1:5" x14ac:dyDescent="0.3">
      <c r="A17">
        <v>72.599999999999994</v>
      </c>
      <c r="B17" t="s">
        <v>30</v>
      </c>
      <c r="D17" t="s">
        <v>32</v>
      </c>
    </row>
    <row r="18" spans="1:5" x14ac:dyDescent="0.3">
      <c r="A18">
        <v>66.599999999999994</v>
      </c>
      <c r="B18" t="s">
        <v>34</v>
      </c>
      <c r="D18" t="s">
        <v>33</v>
      </c>
    </row>
    <row r="19" spans="1:5" x14ac:dyDescent="0.3">
      <c r="A19">
        <v>67</v>
      </c>
      <c r="B19" t="s">
        <v>35</v>
      </c>
      <c r="D19" t="s">
        <v>38</v>
      </c>
    </row>
    <row r="20" spans="1:5" x14ac:dyDescent="0.3">
      <c r="A20">
        <v>67.3</v>
      </c>
      <c r="B20" t="s">
        <v>36</v>
      </c>
      <c r="D20" t="s">
        <v>37</v>
      </c>
    </row>
    <row r="21" spans="1:5" x14ac:dyDescent="0.3">
      <c r="A21">
        <v>67.66</v>
      </c>
      <c r="B21" t="s">
        <v>39</v>
      </c>
      <c r="D21" t="s">
        <v>44</v>
      </c>
    </row>
    <row r="22" spans="1:5" x14ac:dyDescent="0.3">
      <c r="A22">
        <v>67.8</v>
      </c>
      <c r="B22" t="s">
        <v>40</v>
      </c>
      <c r="D22" t="s">
        <v>41</v>
      </c>
    </row>
    <row r="23" spans="1:5" x14ac:dyDescent="0.3">
      <c r="A23">
        <v>67.400000000000006</v>
      </c>
      <c r="B23" t="s">
        <v>42</v>
      </c>
      <c r="D23" t="s">
        <v>43</v>
      </c>
    </row>
    <row r="24" spans="1:5" x14ac:dyDescent="0.3">
      <c r="A24">
        <v>70.3</v>
      </c>
      <c r="B24" t="s">
        <v>45</v>
      </c>
      <c r="D24" t="s">
        <v>46</v>
      </c>
    </row>
    <row r="25" spans="1:5" x14ac:dyDescent="0.3">
      <c r="A25">
        <v>71.8</v>
      </c>
      <c r="B25" t="s">
        <v>47</v>
      </c>
      <c r="D25" t="s">
        <v>48</v>
      </c>
    </row>
    <row r="26" spans="1:5" x14ac:dyDescent="0.3">
      <c r="A26">
        <v>73.5</v>
      </c>
      <c r="B26" t="s">
        <v>49</v>
      </c>
      <c r="D26" t="s">
        <v>50</v>
      </c>
    </row>
    <row r="28" spans="1:5" x14ac:dyDescent="0.3">
      <c r="A28">
        <f>AVERAGE(A16:A26)</f>
        <v>69.787272727272722</v>
      </c>
      <c r="B28">
        <f>_xlfn.STDEV.S(A16:A26)</f>
        <v>3.1505208804548213</v>
      </c>
    </row>
    <row r="29" spans="1:5" x14ac:dyDescent="0.3">
      <c r="A29">
        <v>69.8</v>
      </c>
      <c r="B29">
        <v>3.2</v>
      </c>
    </row>
    <row r="31" spans="1:5" x14ac:dyDescent="0.3">
      <c r="A31" t="s">
        <v>0</v>
      </c>
      <c r="B31" t="s">
        <v>1</v>
      </c>
      <c r="C31" t="s">
        <v>2</v>
      </c>
      <c r="D31" t="s">
        <v>56</v>
      </c>
      <c r="E31" t="s">
        <v>4</v>
      </c>
    </row>
    <row r="32" spans="1:5" x14ac:dyDescent="0.3">
      <c r="A32" s="4">
        <v>73.3</v>
      </c>
      <c r="B32">
        <v>1.04</v>
      </c>
      <c r="C32" t="s">
        <v>57</v>
      </c>
      <c r="D32" t="s">
        <v>6</v>
      </c>
      <c r="E32" t="s">
        <v>55</v>
      </c>
    </row>
    <row r="33" spans="1:5" x14ac:dyDescent="0.3">
      <c r="A33">
        <v>69.8</v>
      </c>
      <c r="B33" t="s">
        <v>59</v>
      </c>
      <c r="C33" t="s">
        <v>58</v>
      </c>
      <c r="D33" t="s">
        <v>60</v>
      </c>
      <c r="E33" t="s">
        <v>61</v>
      </c>
    </row>
    <row r="34" spans="1:5" x14ac:dyDescent="0.3">
      <c r="A34">
        <v>67.400000000000006</v>
      </c>
      <c r="B34" s="2" t="s">
        <v>62</v>
      </c>
      <c r="C34" t="s">
        <v>63</v>
      </c>
      <c r="E34" t="s">
        <v>66</v>
      </c>
    </row>
    <row r="35" spans="1:5" x14ac:dyDescent="0.3">
      <c r="A35">
        <v>68</v>
      </c>
      <c r="B35" s="2" t="s">
        <v>64</v>
      </c>
      <c r="C35" t="s">
        <v>65</v>
      </c>
      <c r="E35" t="s">
        <v>67</v>
      </c>
    </row>
    <row r="36" spans="1:5" x14ac:dyDescent="0.3">
      <c r="A36">
        <v>68.2</v>
      </c>
      <c r="B36">
        <v>0.8</v>
      </c>
      <c r="C36" t="s">
        <v>40</v>
      </c>
      <c r="E36" t="s">
        <v>68</v>
      </c>
    </row>
    <row r="37" spans="1:5" x14ac:dyDescent="0.3">
      <c r="A37">
        <v>67.400000000000006</v>
      </c>
      <c r="B37">
        <v>0.5</v>
      </c>
      <c r="C37" t="s">
        <v>39</v>
      </c>
      <c r="D37" t="s">
        <v>13</v>
      </c>
      <c r="E37" t="s">
        <v>69</v>
      </c>
    </row>
    <row r="39" spans="1:5" x14ac:dyDescent="0.3">
      <c r="A39" t="s">
        <v>21</v>
      </c>
      <c r="B39" t="s">
        <v>70</v>
      </c>
    </row>
    <row r="40" spans="1:5" x14ac:dyDescent="0.3">
      <c r="A40" s="4">
        <f>AVERAGE(A32:A37)</f>
        <v>69.016666666666666</v>
      </c>
      <c r="B40">
        <f>_xlfn.STDEV.P(A32:A37)</f>
        <v>2.077190945055897</v>
      </c>
    </row>
    <row r="41" spans="1:5" x14ac:dyDescent="0.3">
      <c r="A41">
        <v>69.02</v>
      </c>
      <c r="B41">
        <v>2.08</v>
      </c>
    </row>
  </sheetData>
  <hyperlinks>
    <hyperlink ref="D2" r:id="rId1" xr:uid="{FDF2F9F1-8E25-4D76-AACB-833A5645F3E9}"/>
    <hyperlink ref="D3" r:id="rId2" xr:uid="{8DC9A2B4-E5A3-4C3F-A1DF-49909AD6DB37}"/>
    <hyperlink ref="D4" r:id="rId3" xr:uid="{89CF76FC-A8C0-4154-AFE8-022D426B728B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0B543-1B11-47A8-8A9E-D57110993D4B}">
  <dimension ref="A1:I29"/>
  <sheetViews>
    <sheetView workbookViewId="0">
      <selection activeCell="H22" sqref="H22"/>
    </sheetView>
  </sheetViews>
  <sheetFormatPr defaultRowHeight="14.4" x14ac:dyDescent="0.3"/>
  <cols>
    <col min="1" max="1" width="10.6640625" bestFit="1" customWidth="1"/>
    <col min="2" max="2" width="19.109375" bestFit="1" customWidth="1"/>
    <col min="4" max="4" width="34.5546875" bestFit="1" customWidth="1"/>
    <col min="5" max="5" width="12.88671875" bestFit="1" customWidth="1"/>
  </cols>
  <sheetData>
    <row r="1" spans="1:9" x14ac:dyDescent="0.3">
      <c r="A1" t="s">
        <v>51</v>
      </c>
      <c r="B1" t="s">
        <v>21</v>
      </c>
      <c r="C1" t="s">
        <v>1</v>
      </c>
      <c r="D1" t="s">
        <v>2</v>
      </c>
    </row>
    <row r="2" spans="1:9" x14ac:dyDescent="0.3">
      <c r="A2" t="s">
        <v>52</v>
      </c>
      <c r="B2">
        <v>0.68889999999999996</v>
      </c>
      <c r="C2">
        <v>5.5999999999999999E-3</v>
      </c>
      <c r="D2" t="s">
        <v>53</v>
      </c>
    </row>
    <row r="3" spans="1:9" x14ac:dyDescent="0.3">
      <c r="A3" t="s">
        <v>54</v>
      </c>
    </row>
    <row r="7" spans="1:9" x14ac:dyDescent="0.3">
      <c r="A7" t="s">
        <v>71</v>
      </c>
      <c r="B7" t="s">
        <v>72</v>
      </c>
      <c r="C7" t="s">
        <v>73</v>
      </c>
      <c r="D7" t="s">
        <v>74</v>
      </c>
      <c r="E7" t="s">
        <v>75</v>
      </c>
      <c r="F7" t="s">
        <v>76</v>
      </c>
      <c r="G7" t="s">
        <v>77</v>
      </c>
      <c r="H7" t="s">
        <v>78</v>
      </c>
      <c r="I7" t="s">
        <v>79</v>
      </c>
    </row>
    <row r="8" spans="1:9" x14ac:dyDescent="0.3">
      <c r="A8" t="s">
        <v>80</v>
      </c>
    </row>
    <row r="9" spans="1:9" x14ac:dyDescent="0.3">
      <c r="A9" t="s">
        <v>82</v>
      </c>
    </row>
    <row r="10" spans="1:9" x14ac:dyDescent="0.3">
      <c r="A10" t="s">
        <v>81</v>
      </c>
    </row>
    <row r="11" spans="1:9" x14ac:dyDescent="0.3">
      <c r="A11" t="s">
        <v>54</v>
      </c>
    </row>
    <row r="12" spans="1:9" x14ac:dyDescent="0.3">
      <c r="A12" t="s">
        <v>83</v>
      </c>
    </row>
    <row r="13" spans="1:9" x14ac:dyDescent="0.3">
      <c r="A13" t="s">
        <v>84</v>
      </c>
    </row>
    <row r="16" spans="1:9" x14ac:dyDescent="0.3">
      <c r="A16" t="s">
        <v>85</v>
      </c>
      <c r="B16" t="s">
        <v>13</v>
      </c>
      <c r="C16" t="s">
        <v>6</v>
      </c>
    </row>
    <row r="17" spans="1:9" x14ac:dyDescent="0.3">
      <c r="A17">
        <v>69.290000000000006</v>
      </c>
      <c r="B17">
        <v>67.400000000000006</v>
      </c>
      <c r="C17">
        <v>73.3</v>
      </c>
      <c r="D17">
        <f>69.29-67.4</f>
        <v>1.8900000000000006</v>
      </c>
      <c r="E17">
        <f>69.29+1.53-67.4-0.5</f>
        <v>2.9200000000000017</v>
      </c>
      <c r="F17">
        <f>69.29-1.65-67.4+0.5</f>
        <v>0.73999999999999488</v>
      </c>
      <c r="G17">
        <f>C17-A17</f>
        <v>4.0099999999999909</v>
      </c>
      <c r="H17">
        <f>(C17+C18)-(A17-1.65)</f>
        <v>6.7000000000000028</v>
      </c>
      <c r="I17">
        <f>(C17-C18)-(A17+1.53)</f>
        <v>1.4399999999999835</v>
      </c>
    </row>
    <row r="18" spans="1:9" x14ac:dyDescent="0.3">
      <c r="A18" s="2" t="s">
        <v>86</v>
      </c>
      <c r="B18">
        <v>0.5</v>
      </c>
      <c r="C18">
        <v>1.04</v>
      </c>
      <c r="E18">
        <f>E17-D17</f>
        <v>1.0300000000000011</v>
      </c>
      <c r="F18">
        <f>D17-F17</f>
        <v>1.1500000000000057</v>
      </c>
      <c r="H18">
        <f>H17-G17</f>
        <v>2.6900000000000119</v>
      </c>
      <c r="I18">
        <f>G17-I17</f>
        <v>2.5700000000000074</v>
      </c>
    </row>
    <row r="19" spans="1:9" x14ac:dyDescent="0.3">
      <c r="E19">
        <f>D17/E18</f>
        <v>1.8349514563106781</v>
      </c>
      <c r="F19">
        <f>D17/F18</f>
        <v>1.6434782608695575</v>
      </c>
      <c r="H19">
        <f>G17/H18</f>
        <v>1.4907063197025923</v>
      </c>
      <c r="I19">
        <f>G17/I18</f>
        <v>1.5603112840466846</v>
      </c>
    </row>
    <row r="20" spans="1:9" x14ac:dyDescent="0.3">
      <c r="A20">
        <v>0.69</v>
      </c>
      <c r="B20">
        <v>0.68700000000000006</v>
      </c>
      <c r="C20">
        <v>0.625</v>
      </c>
      <c r="D20">
        <f>A20-B20</f>
        <v>2.9999999999998916E-3</v>
      </c>
      <c r="G20">
        <f>A20-C20</f>
        <v>6.4999999999999947E-2</v>
      </c>
    </row>
    <row r="21" spans="1:9" x14ac:dyDescent="0.3">
      <c r="A21">
        <v>0.01</v>
      </c>
      <c r="B21">
        <v>7.3000000000000001E-3</v>
      </c>
      <c r="C21">
        <v>8.4000000000000005E-2</v>
      </c>
      <c r="D21" s="5">
        <f>SQRT(A21^2+B21^2)</f>
        <v>1.2381033882515628E-2</v>
      </c>
      <c r="E21">
        <f>D20/D21</f>
        <v>0.24230609725060695</v>
      </c>
      <c r="G21">
        <f>SQRT(A21^2+C21^2)</f>
        <v>8.4593143930226405E-2</v>
      </c>
      <c r="H21">
        <f>G20/G21</f>
        <v>0.76838378360322968</v>
      </c>
    </row>
    <row r="29" spans="1:9" x14ac:dyDescent="0.3">
      <c r="A29" t="s">
        <v>51</v>
      </c>
      <c r="B29" t="s">
        <v>87</v>
      </c>
      <c r="C29" t="s">
        <v>88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46199-A340-485A-B58F-7B8C0DC2D034}">
  <dimension ref="A1:D11"/>
  <sheetViews>
    <sheetView workbookViewId="0">
      <selection activeCell="C12" sqref="C12"/>
    </sheetView>
  </sheetViews>
  <sheetFormatPr defaultRowHeight="14.4" x14ac:dyDescent="0.3"/>
  <cols>
    <col min="1" max="1" width="11.21875" bestFit="1" customWidth="1"/>
    <col min="2" max="2" width="10.21875" bestFit="1" customWidth="1"/>
    <col min="4" max="4" width="54" bestFit="1" customWidth="1"/>
  </cols>
  <sheetData>
    <row r="1" spans="1:4" x14ac:dyDescent="0.3">
      <c r="A1" t="s">
        <v>0</v>
      </c>
      <c r="B1" t="s">
        <v>1</v>
      </c>
      <c r="C1" t="s">
        <v>2</v>
      </c>
      <c r="D1" t="s">
        <v>4</v>
      </c>
    </row>
    <row r="2" spans="1:4" x14ac:dyDescent="0.3">
      <c r="A2">
        <v>0</v>
      </c>
      <c r="C2" t="s">
        <v>13</v>
      </c>
      <c r="D2" s="1" t="s">
        <v>14</v>
      </c>
    </row>
    <row r="9" spans="1:4" x14ac:dyDescent="0.3">
      <c r="A9" t="s">
        <v>8</v>
      </c>
    </row>
    <row r="10" spans="1:4" x14ac:dyDescent="0.3">
      <c r="A10" t="s">
        <v>9</v>
      </c>
      <c r="B10" t="s">
        <v>10</v>
      </c>
      <c r="C10" t="s">
        <v>21</v>
      </c>
    </row>
    <row r="11" spans="1:4" x14ac:dyDescent="0.3">
      <c r="A11" s="2" t="s">
        <v>15</v>
      </c>
      <c r="B11" t="s">
        <v>12</v>
      </c>
      <c r="C11">
        <v>0</v>
      </c>
    </row>
  </sheetData>
  <hyperlinks>
    <hyperlink ref="D2" r:id="rId1" xr:uid="{7741AF59-1868-4C97-A2A5-8D3277A9D83F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8B9B-8B5A-49B0-AA44-1710CFB91473}">
  <dimension ref="A1:F22"/>
  <sheetViews>
    <sheetView tabSelected="1" workbookViewId="0">
      <selection activeCell="A23" sqref="A23"/>
    </sheetView>
  </sheetViews>
  <sheetFormatPr defaultRowHeight="14.4" x14ac:dyDescent="0.3"/>
  <cols>
    <col min="1" max="1" width="11.21875" bestFit="1" customWidth="1"/>
    <col min="2" max="2" width="12.6640625" bestFit="1" customWidth="1"/>
    <col min="3" max="3" width="12.44140625" bestFit="1" customWidth="1"/>
    <col min="4" max="4" width="54" bestFit="1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4</v>
      </c>
    </row>
    <row r="2" spans="1:6" x14ac:dyDescent="0.3">
      <c r="A2">
        <v>0.315</v>
      </c>
      <c r="B2">
        <v>1.7000000000000001E-2</v>
      </c>
      <c r="C2" t="s">
        <v>13</v>
      </c>
      <c r="D2" s="1" t="s">
        <v>14</v>
      </c>
    </row>
    <row r="3" spans="1:6" x14ac:dyDescent="0.3">
      <c r="A3">
        <v>0.33400000000000002</v>
      </c>
      <c r="B3">
        <v>1.7999999999999999E-2</v>
      </c>
      <c r="C3" t="s">
        <v>16</v>
      </c>
      <c r="D3" s="1" t="s">
        <v>5</v>
      </c>
    </row>
    <row r="4" spans="1:6" x14ac:dyDescent="0.3">
      <c r="A4">
        <v>0.35599999999999998</v>
      </c>
      <c r="B4" s="2">
        <f>(0.028+0.026)/2</f>
        <v>2.7E-2</v>
      </c>
      <c r="C4" t="s">
        <v>25</v>
      </c>
      <c r="E4" t="s">
        <v>26</v>
      </c>
      <c r="F4" s="2" t="s">
        <v>24</v>
      </c>
    </row>
    <row r="7" spans="1:6" x14ac:dyDescent="0.3">
      <c r="A7" t="s">
        <v>8</v>
      </c>
    </row>
    <row r="8" spans="1:6" x14ac:dyDescent="0.3">
      <c r="A8" t="s">
        <v>9</v>
      </c>
      <c r="B8" t="s">
        <v>10</v>
      </c>
      <c r="C8" t="s">
        <v>21</v>
      </c>
      <c r="D8" t="s">
        <v>27</v>
      </c>
    </row>
    <row r="9" spans="1:6" x14ac:dyDescent="0.3">
      <c r="A9" t="s">
        <v>17</v>
      </c>
      <c r="B9" t="s">
        <v>18</v>
      </c>
      <c r="C9">
        <v>0.32500000000000001</v>
      </c>
    </row>
    <row r="10" spans="1:6" x14ac:dyDescent="0.3">
      <c r="C10">
        <f>(A2+A4)/2</f>
        <v>0.33550000000000002</v>
      </c>
      <c r="D10">
        <f>SQRT(B2^2+B4^2)</f>
        <v>3.1906112267087637E-2</v>
      </c>
    </row>
    <row r="11" spans="1:6" x14ac:dyDescent="0.3">
      <c r="C11">
        <v>0.34</v>
      </c>
      <c r="D11">
        <v>0.03</v>
      </c>
    </row>
    <row r="13" spans="1:6" x14ac:dyDescent="0.3">
      <c r="A13" t="s">
        <v>0</v>
      </c>
      <c r="B13" t="s">
        <v>1</v>
      </c>
      <c r="C13" t="s">
        <v>2</v>
      </c>
      <c r="D13" t="s">
        <v>56</v>
      </c>
      <c r="E13" t="s">
        <v>4</v>
      </c>
    </row>
    <row r="14" spans="1:6" x14ac:dyDescent="0.3">
      <c r="A14">
        <v>0.35599999999999998</v>
      </c>
      <c r="B14" s="2" t="s">
        <v>24</v>
      </c>
      <c r="C14" t="s">
        <v>89</v>
      </c>
      <c r="D14" t="s">
        <v>90</v>
      </c>
      <c r="E14" t="s">
        <v>91</v>
      </c>
    </row>
    <row r="15" spans="1:6" x14ac:dyDescent="0.3">
      <c r="A15">
        <v>0.315</v>
      </c>
      <c r="B15">
        <v>7.0000000000000001E-3</v>
      </c>
      <c r="C15" t="s">
        <v>39</v>
      </c>
      <c r="D15" t="s">
        <v>13</v>
      </c>
      <c r="E15" t="s">
        <v>92</v>
      </c>
    </row>
    <row r="16" spans="1:6" x14ac:dyDescent="0.3">
      <c r="A16">
        <v>0.25600000000000001</v>
      </c>
      <c r="B16" s="2" t="s">
        <v>93</v>
      </c>
      <c r="C16" t="s">
        <v>63</v>
      </c>
      <c r="D16" t="s">
        <v>94</v>
      </c>
      <c r="E16" t="s">
        <v>95</v>
      </c>
    </row>
    <row r="17" spans="1:5" x14ac:dyDescent="0.3">
      <c r="A17">
        <v>0.35</v>
      </c>
      <c r="B17" t="s">
        <v>96</v>
      </c>
      <c r="C17" t="s">
        <v>65</v>
      </c>
      <c r="E17" t="s">
        <v>97</v>
      </c>
    </row>
    <row r="18" spans="1:5" x14ac:dyDescent="0.3">
      <c r="A18">
        <v>0.29749999999999999</v>
      </c>
      <c r="B18">
        <v>8.6E-3</v>
      </c>
      <c r="C18" t="s">
        <v>98</v>
      </c>
      <c r="D18" t="s">
        <v>99</v>
      </c>
      <c r="E18" t="s">
        <v>100</v>
      </c>
    </row>
    <row r="20" spans="1:5" x14ac:dyDescent="0.3">
      <c r="A20" t="s">
        <v>101</v>
      </c>
      <c r="B20" t="s">
        <v>28</v>
      </c>
    </row>
    <row r="21" spans="1:5" x14ac:dyDescent="0.3">
      <c r="A21">
        <f>AVERAGE(A14:A18)</f>
        <v>0.31490000000000001</v>
      </c>
      <c r="B21">
        <f>_xlfn.STDEV.P(A14:A18)</f>
        <v>3.6587429535292461E-2</v>
      </c>
    </row>
    <row r="22" spans="1:5" x14ac:dyDescent="0.3">
      <c r="A22">
        <v>0.31</v>
      </c>
      <c r="B22">
        <v>0.04</v>
      </c>
    </row>
  </sheetData>
  <hyperlinks>
    <hyperlink ref="D2" r:id="rId1" xr:uid="{43C03286-1D9B-44E1-8825-08C6D7AD7C2C}"/>
    <hyperlink ref="D3" r:id="rId2" xr:uid="{0DC59C89-D895-4D4A-880F-4D246A9EEB87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962B1-430A-4742-A02F-EC1F10D24E58}">
  <dimension ref="A1:D12"/>
  <sheetViews>
    <sheetView workbookViewId="0">
      <selection activeCell="A14" sqref="A14:E14"/>
    </sheetView>
  </sheetViews>
  <sheetFormatPr defaultRowHeight="14.4" x14ac:dyDescent="0.3"/>
  <cols>
    <col min="1" max="1" width="11.21875" bestFit="1" customWidth="1"/>
    <col min="2" max="2" width="12.109375" bestFit="1" customWidth="1"/>
    <col min="3" max="3" width="12.44140625" bestFit="1" customWidth="1"/>
    <col min="4" max="4" width="55.21875" bestFit="1" customWidth="1"/>
  </cols>
  <sheetData>
    <row r="1" spans="1:4" x14ac:dyDescent="0.3">
      <c r="A1" t="s">
        <v>0</v>
      </c>
      <c r="B1" t="s">
        <v>1</v>
      </c>
      <c r="C1" t="s">
        <v>2</v>
      </c>
      <c r="D1" t="s">
        <v>4</v>
      </c>
    </row>
    <row r="2" spans="1:4" x14ac:dyDescent="0.3">
      <c r="A2">
        <v>0.68500000000000005</v>
      </c>
      <c r="B2" s="2" t="s">
        <v>19</v>
      </c>
      <c r="C2" t="s">
        <v>13</v>
      </c>
      <c r="D2" s="1" t="s">
        <v>14</v>
      </c>
    </row>
    <row r="3" spans="1:4" x14ac:dyDescent="0.3">
      <c r="A3">
        <v>0.66600000000000004</v>
      </c>
      <c r="B3">
        <v>1.7999999999999999E-2</v>
      </c>
      <c r="C3" t="s">
        <v>16</v>
      </c>
      <c r="D3" s="1" t="s">
        <v>5</v>
      </c>
    </row>
    <row r="10" spans="1:4" x14ac:dyDescent="0.3">
      <c r="A10" s="3" t="s">
        <v>8</v>
      </c>
      <c r="B10" s="3"/>
    </row>
    <row r="11" spans="1:4" x14ac:dyDescent="0.3">
      <c r="A11" s="3" t="s">
        <v>9</v>
      </c>
      <c r="B11" s="3" t="s">
        <v>10</v>
      </c>
      <c r="C11" t="s">
        <v>21</v>
      </c>
    </row>
    <row r="12" spans="1:4" x14ac:dyDescent="0.3">
      <c r="A12" t="s">
        <v>20</v>
      </c>
      <c r="B12" t="s">
        <v>18</v>
      </c>
      <c r="C12">
        <v>0.67500000000000004</v>
      </c>
    </row>
  </sheetData>
  <hyperlinks>
    <hyperlink ref="D2" r:id="rId1" xr:uid="{5F1FEAB1-36AF-485D-A764-7665CB720D12}"/>
    <hyperlink ref="D3" r:id="rId2" xr:uid="{6C6833B9-F028-4EF9-B487-9FEFA674E0CA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21163-8263-4050-979E-03584E7BFA03}">
  <dimension ref="A1:C14"/>
  <sheetViews>
    <sheetView workbookViewId="0">
      <selection activeCell="C15" sqref="C15"/>
    </sheetView>
  </sheetViews>
  <sheetFormatPr defaultRowHeight="14.4" x14ac:dyDescent="0.3"/>
  <cols>
    <col min="1" max="1" width="16" bestFit="1" customWidth="1"/>
    <col min="2" max="2" width="10.21875" bestFit="1" customWidth="1"/>
    <col min="3" max="3" width="9.33203125" bestFit="1" customWidth="1"/>
  </cols>
  <sheetData>
    <row r="1" spans="1:3" x14ac:dyDescent="0.3">
      <c r="A1" t="s">
        <v>0</v>
      </c>
      <c r="B1" t="s">
        <v>1</v>
      </c>
      <c r="C1" t="s">
        <v>2</v>
      </c>
    </row>
    <row r="12" spans="1:3" x14ac:dyDescent="0.3">
      <c r="A12" s="3" t="s">
        <v>8</v>
      </c>
      <c r="B12" s="3"/>
    </row>
    <row r="13" spans="1:3" x14ac:dyDescent="0.3">
      <c r="A13" s="3" t="s">
        <v>9</v>
      </c>
      <c r="B13" s="3" t="s">
        <v>10</v>
      </c>
      <c r="C13" t="s">
        <v>21</v>
      </c>
    </row>
    <row r="14" spans="1:3" x14ac:dyDescent="0.3">
      <c r="A14" t="s">
        <v>22</v>
      </c>
      <c r="B14" t="s">
        <v>18</v>
      </c>
      <c r="C14" t="s">
        <v>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H0</vt:lpstr>
      <vt:lpstr>Sheet1</vt:lpstr>
      <vt:lpstr>k</vt:lpstr>
      <vt:lpstr>Mass density</vt:lpstr>
      <vt:lpstr>DE density</vt:lpstr>
      <vt:lpstr>LPeak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ERDOS, MILAN L. (Student)</dc:creator>
  <cp:lastModifiedBy>ERDOS, MILAN L. (Student)</cp:lastModifiedBy>
  <dcterms:created xsi:type="dcterms:W3CDTF">2025-02-04T15:25:00Z</dcterms:created>
  <dcterms:modified xsi:type="dcterms:W3CDTF">2025-03-26T02:30:28Z</dcterms:modified>
</cp:coreProperties>
</file>
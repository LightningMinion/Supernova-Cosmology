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\Documents\Supernova Cosmology\Supernova-Cosmology\"/>
    </mc:Choice>
  </mc:AlternateContent>
  <xr:revisionPtr revIDLastSave="0" documentId="13_ncr:1_{C75BBA53-63BF-4B5F-B45C-97E81EF68F08}" xr6:coauthVersionLast="47" xr6:coauthVersionMax="47" xr10:uidLastSave="{00000000-0000-0000-0000-000000000000}"/>
  <bookViews>
    <workbookView xWindow="-108" yWindow="-108" windowWidth="23256" windowHeight="13176" xr2:uid="{94A17BBC-0C8D-4BC8-BE19-B6A80FA616E3}"/>
  </bookViews>
  <sheets>
    <sheet name="H0" sheetId="1" r:id="rId1"/>
    <sheet name="k" sheetId="2" r:id="rId2"/>
    <sheet name="Mass density" sheetId="3" r:id="rId3"/>
    <sheet name="DE density" sheetId="4" r:id="rId4"/>
    <sheet name="LPea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A28" i="1"/>
  <c r="D12" i="1"/>
  <c r="C12" i="1"/>
  <c r="D10" i="3"/>
  <c r="C10" i="3"/>
  <c r="B4" i="3"/>
</calcChain>
</file>

<file path=xl/sharedStrings.xml><?xml version="1.0" encoding="utf-8"?>
<sst xmlns="http://schemas.openxmlformats.org/spreadsheetml/2006/main" count="97" uniqueCount="51">
  <si>
    <t>Value</t>
  </si>
  <si>
    <t>Error</t>
  </si>
  <si>
    <t>Source</t>
  </si>
  <si>
    <t>Pantheon +</t>
  </si>
  <si>
    <t>Paper</t>
  </si>
  <si>
    <t>https://iopscience.iop.org/article/10.3847/1538-4357/ac8e04/pdf</t>
  </si>
  <si>
    <t>SH0ES</t>
  </si>
  <si>
    <t>https://iopscience.iop.org/article/10.3847/2041-8213/ac5c5b/pdf</t>
  </si>
  <si>
    <t>Chosen prior</t>
  </si>
  <si>
    <t>Range</t>
  </si>
  <si>
    <t>Distribution</t>
  </si>
  <si>
    <t>65-75</t>
  </si>
  <si>
    <t>uniform</t>
  </si>
  <si>
    <t>Planck</t>
  </si>
  <si>
    <t>https://www.aanda.org/articles/aa/pdf/2014/11/aa21591-13.pdf</t>
  </si>
  <si>
    <t>-1 -&gt; 1</t>
  </si>
  <si>
    <t>Pantheon Plus</t>
  </si>
  <si>
    <t>0.3-0.35</t>
  </si>
  <si>
    <t>Uniform</t>
  </si>
  <si>
    <t>+0.018 -0.016</t>
  </si>
  <si>
    <t>0.65-0.7</t>
  </si>
  <si>
    <t>Mean</t>
  </si>
  <si>
    <t>2x10^32 - 5x10^32</t>
  </si>
  <si>
    <t>2.5x10^32</t>
  </si>
  <si>
    <t>+0.028, -0.026</t>
  </si>
  <si>
    <t>Unity</t>
  </si>
  <si>
    <t>For LCDM</t>
  </si>
  <si>
    <t>St dev</t>
  </si>
  <si>
    <t>stdev</t>
  </si>
  <si>
    <t>grav lensing of SNIa</t>
  </si>
  <si>
    <t>standard candle</t>
  </si>
  <si>
    <t>https://iopscience.iop.org/article/10.3847/1538-4357/ad9928</t>
  </si>
  <si>
    <t>https://iopscience.iop.org/article/10.3847/1538-4357/ad8c21</t>
  </si>
  <si>
    <t>https://www.science.org/doi/10.1126/science.abh1322</t>
  </si>
  <si>
    <t>grav lensing of SN</t>
  </si>
  <si>
    <t>kilonova</t>
  </si>
  <si>
    <t>cosmic voids</t>
  </si>
  <si>
    <t>https://www.aanda.org/articles/aa/full_html/2024/02/aa47572-23/aa47572-23.html</t>
  </si>
  <si>
    <t>https://www.aanda.org/articles/aa/full_html/2023/10/aa46306-23/aa46306-23.html</t>
  </si>
  <si>
    <t>CMB</t>
  </si>
  <si>
    <t>inverse distance ladder</t>
  </si>
  <si>
    <t>https://academic.oup.com/mnras/article/486/2/2184/5435505?login=false</t>
  </si>
  <si>
    <t>gamma ray attenuation</t>
  </si>
  <si>
    <t>https://iopscience.iop.org/article/10.3847/1538-4357/ab4a0e</t>
  </si>
  <si>
    <t>https://www.aanda.org/articles/aa/full_html/2020/09/aa33910-18/aa33910-18.html</t>
  </si>
  <si>
    <t>grav waves</t>
  </si>
  <si>
    <t>https://www.nature.com/articles/s41550-019-0820-1</t>
  </si>
  <si>
    <t>grav lensing of galaxy</t>
  </si>
  <si>
    <t>https://academic.oup.com/mnras/article/501/1/784/6006283?login=false</t>
  </si>
  <si>
    <t>CMB lensing</t>
  </si>
  <si>
    <t>https://academic.oup.com/mnras/article/501/2/1823/6022167?login=false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</si>
</sst>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anda.org/articles/aa/pdf/2014/11/aa21591-13.pdf" TargetMode="External"/><Relationship Id="rId2" Type="http://schemas.openxmlformats.org/officeDocument/2006/relationships/hyperlink" Target="https://iopscience.iop.org/article/10.3847/2041-8213/ac5c5b/pdf" TargetMode="External"/><Relationship Id="rId1" Type="http://schemas.openxmlformats.org/officeDocument/2006/relationships/hyperlink" Target="https://iopscience.iop.org/article/10.3847/1538-4357/ac8e04/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anda.org/articles/aa/pdf/2014/11/aa21591-13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iopscience.iop.org/article/10.3847/1538-4357/ac8e04/pdf" TargetMode="External"/><Relationship Id="rId1" Type="http://schemas.openxmlformats.org/officeDocument/2006/relationships/hyperlink" Target="https://www.aanda.org/articles/aa/pdf/2014/11/aa21591-13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iopscience.iop.org/article/10.3847/1538-4357/ac8e04/pdf" TargetMode="External"/><Relationship Id="rId1" Type="http://schemas.openxmlformats.org/officeDocument/2006/relationships/hyperlink" Target="https://www.aanda.org/articles/aa/pdf/2014/11/aa21591-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4E0E-6873-45D1-95E5-DD51AA5E1604}">
  <dimension ref="A1:D29"/>
  <sheetViews>
    <sheetView tabSelected="1" topLeftCell="A3" workbookViewId="0">
      <selection activeCell="D16" sqref="D16"/>
    </sheetView>
  </sheetViews>
  <sheetFormatPr defaultRowHeight="14.4" x14ac:dyDescent="0.3"/>
  <cols>
    <col min="1" max="1" width="11.21875" bestFit="1" customWidth="1"/>
    <col min="2" max="2" width="19.6640625" bestFit="1" customWidth="1"/>
    <col min="3" max="3" width="10" bestFit="1" customWidth="1"/>
    <col min="4" max="4" width="5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73.5</v>
      </c>
      <c r="B2">
        <v>1.1000000000000001</v>
      </c>
      <c r="C2" t="s">
        <v>3</v>
      </c>
      <c r="D2" s="1" t="s">
        <v>5</v>
      </c>
    </row>
    <row r="3" spans="1:4" x14ac:dyDescent="0.3">
      <c r="A3">
        <v>73.3</v>
      </c>
      <c r="B3">
        <v>1.04</v>
      </c>
      <c r="C3" t="s">
        <v>6</v>
      </c>
      <c r="D3" s="1" t="s">
        <v>7</v>
      </c>
    </row>
    <row r="4" spans="1:4" x14ac:dyDescent="0.3">
      <c r="A4">
        <v>67.3</v>
      </c>
      <c r="B4">
        <v>1.2</v>
      </c>
      <c r="C4" t="s">
        <v>13</v>
      </c>
      <c r="D4" s="1" t="s">
        <v>14</v>
      </c>
    </row>
    <row r="9" spans="1:4" x14ac:dyDescent="0.3">
      <c r="A9" t="s">
        <v>8</v>
      </c>
    </row>
    <row r="10" spans="1:4" x14ac:dyDescent="0.3">
      <c r="A10" t="s">
        <v>9</v>
      </c>
      <c r="B10" t="s">
        <v>10</v>
      </c>
      <c r="C10" t="s">
        <v>21</v>
      </c>
      <c r="D10" t="s">
        <v>28</v>
      </c>
    </row>
    <row r="11" spans="1:4" x14ac:dyDescent="0.3">
      <c r="A11" t="s">
        <v>11</v>
      </c>
      <c r="B11" t="s">
        <v>12</v>
      </c>
      <c r="C11">
        <v>70</v>
      </c>
    </row>
    <row r="12" spans="1:4" x14ac:dyDescent="0.3">
      <c r="C12">
        <f>(A4+A3)/2</f>
        <v>70.3</v>
      </c>
      <c r="D12">
        <f>SQRT(B3^2+B4^2)</f>
        <v>1.5879546593023368</v>
      </c>
    </row>
    <row r="13" spans="1:4" x14ac:dyDescent="0.3">
      <c r="C13">
        <v>70.3</v>
      </c>
      <c r="D13">
        <v>1.6</v>
      </c>
    </row>
    <row r="15" spans="1:4" x14ac:dyDescent="0.3">
      <c r="A15" t="s">
        <v>0</v>
      </c>
      <c r="B15" t="s">
        <v>2</v>
      </c>
      <c r="D15" t="s">
        <v>4</v>
      </c>
    </row>
    <row r="16" spans="1:4" x14ac:dyDescent="0.3">
      <c r="A16">
        <v>75.7</v>
      </c>
      <c r="B16" t="s">
        <v>29</v>
      </c>
      <c r="D16" t="s">
        <v>31</v>
      </c>
    </row>
    <row r="17" spans="1:4" x14ac:dyDescent="0.3">
      <c r="A17">
        <v>72.599999999999994</v>
      </c>
      <c r="B17" t="s">
        <v>30</v>
      </c>
      <c r="D17" t="s">
        <v>32</v>
      </c>
    </row>
    <row r="18" spans="1:4" x14ac:dyDescent="0.3">
      <c r="A18">
        <v>66.599999999999994</v>
      </c>
      <c r="B18" t="s">
        <v>34</v>
      </c>
      <c r="D18" t="s">
        <v>33</v>
      </c>
    </row>
    <row r="19" spans="1:4" x14ac:dyDescent="0.3">
      <c r="A19">
        <v>67</v>
      </c>
      <c r="B19" t="s">
        <v>35</v>
      </c>
      <c r="D19" t="s">
        <v>38</v>
      </c>
    </row>
    <row r="20" spans="1:4" x14ac:dyDescent="0.3">
      <c r="A20">
        <v>67.3</v>
      </c>
      <c r="B20" t="s">
        <v>36</v>
      </c>
      <c r="D20" t="s">
        <v>37</v>
      </c>
    </row>
    <row r="21" spans="1:4" x14ac:dyDescent="0.3">
      <c r="A21">
        <v>67.66</v>
      </c>
      <c r="B21" t="s">
        <v>39</v>
      </c>
      <c r="D21" t="s">
        <v>44</v>
      </c>
    </row>
    <row r="22" spans="1:4" x14ac:dyDescent="0.3">
      <c r="A22">
        <v>67.8</v>
      </c>
      <c r="B22" t="s">
        <v>40</v>
      </c>
      <c r="D22" t="s">
        <v>41</v>
      </c>
    </row>
    <row r="23" spans="1:4" x14ac:dyDescent="0.3">
      <c r="A23">
        <v>67.400000000000006</v>
      </c>
      <c r="B23" t="s">
        <v>42</v>
      </c>
      <c r="D23" t="s">
        <v>43</v>
      </c>
    </row>
    <row r="24" spans="1:4" x14ac:dyDescent="0.3">
      <c r="A24">
        <v>70.3</v>
      </c>
      <c r="B24" t="s">
        <v>45</v>
      </c>
      <c r="D24" t="s">
        <v>46</v>
      </c>
    </row>
    <row r="25" spans="1:4" x14ac:dyDescent="0.3">
      <c r="A25">
        <v>71.8</v>
      </c>
      <c r="B25" t="s">
        <v>47</v>
      </c>
      <c r="D25" t="s">
        <v>48</v>
      </c>
    </row>
    <row r="26" spans="1:4" x14ac:dyDescent="0.3">
      <c r="A26">
        <v>73.5</v>
      </c>
      <c r="B26" t="s">
        <v>49</v>
      </c>
      <c r="D26" t="s">
        <v>50</v>
      </c>
    </row>
    <row r="28" spans="1:4" x14ac:dyDescent="0.3">
      <c r="A28">
        <f>AVERAGE(A16:A26)</f>
        <v>69.787272727272722</v>
      </c>
      <c r="B28">
        <f>_xlfn.STDEV.S(A16:A26)</f>
        <v>3.1505208804548213</v>
      </c>
    </row>
    <row r="29" spans="1:4" x14ac:dyDescent="0.3">
      <c r="A29">
        <v>69.8</v>
      </c>
      <c r="B29">
        <v>3.2</v>
      </c>
    </row>
  </sheetData>
  <hyperlinks>
    <hyperlink ref="D2" r:id="rId1" xr:uid="{FDF2F9F1-8E25-4D76-AACB-833A5645F3E9}"/>
    <hyperlink ref="D3" r:id="rId2" xr:uid="{8DC9A2B4-E5A3-4C3F-A1DF-49909AD6DB37}"/>
    <hyperlink ref="D4" r:id="rId3" xr:uid="{89CF76FC-A8C0-4154-AFE8-022D426B72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6199-A340-485A-B58F-7B8C0DC2D034}">
  <dimension ref="A1:D11"/>
  <sheetViews>
    <sheetView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0.21875" bestFit="1" customWidth="1"/>
    <col min="4" max="4" width="5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0</v>
      </c>
      <c r="C2" t="s">
        <v>13</v>
      </c>
      <c r="D2" s="1" t="s">
        <v>14</v>
      </c>
    </row>
    <row r="9" spans="1:4" x14ac:dyDescent="0.3">
      <c r="A9" t="s">
        <v>8</v>
      </c>
    </row>
    <row r="10" spans="1:4" x14ac:dyDescent="0.3">
      <c r="A10" t="s">
        <v>9</v>
      </c>
      <c r="B10" t="s">
        <v>10</v>
      </c>
      <c r="C10" t="s">
        <v>21</v>
      </c>
    </row>
    <row r="11" spans="1:4" x14ac:dyDescent="0.3">
      <c r="A11" s="2" t="s">
        <v>15</v>
      </c>
      <c r="B11" t="s">
        <v>12</v>
      </c>
      <c r="C11">
        <v>0</v>
      </c>
    </row>
  </sheetData>
  <hyperlinks>
    <hyperlink ref="D2" r:id="rId1" xr:uid="{7741AF59-1868-4C97-A2A5-8D3277A9D8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8B9B-8B5A-49B0-AA44-1710CFB91473}">
  <dimension ref="A1:F11"/>
  <sheetViews>
    <sheetView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2.6640625" bestFit="1" customWidth="1"/>
    <col min="3" max="3" width="12.44140625" bestFit="1" customWidth="1"/>
    <col min="4" max="4" width="5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</row>
    <row r="2" spans="1:6" x14ac:dyDescent="0.3">
      <c r="A2">
        <v>0.315</v>
      </c>
      <c r="B2">
        <v>1.7000000000000001E-2</v>
      </c>
      <c r="C2" t="s">
        <v>13</v>
      </c>
      <c r="D2" s="1" t="s">
        <v>14</v>
      </c>
    </row>
    <row r="3" spans="1:6" x14ac:dyDescent="0.3">
      <c r="A3">
        <v>0.33400000000000002</v>
      </c>
      <c r="B3">
        <v>1.7999999999999999E-2</v>
      </c>
      <c r="C3" t="s">
        <v>16</v>
      </c>
      <c r="D3" s="1" t="s">
        <v>5</v>
      </c>
    </row>
    <row r="4" spans="1:6" x14ac:dyDescent="0.3">
      <c r="A4">
        <v>0.35599999999999998</v>
      </c>
      <c r="B4" s="2">
        <f>(0.028+0.026)/2</f>
        <v>2.7E-2</v>
      </c>
      <c r="C4" t="s">
        <v>25</v>
      </c>
      <c r="E4" t="s">
        <v>26</v>
      </c>
      <c r="F4" s="2" t="s">
        <v>24</v>
      </c>
    </row>
    <row r="7" spans="1:6" x14ac:dyDescent="0.3">
      <c r="A7" t="s">
        <v>8</v>
      </c>
    </row>
    <row r="8" spans="1:6" x14ac:dyDescent="0.3">
      <c r="A8" t="s">
        <v>9</v>
      </c>
      <c r="B8" t="s">
        <v>10</v>
      </c>
      <c r="C8" t="s">
        <v>21</v>
      </c>
      <c r="D8" t="s">
        <v>27</v>
      </c>
    </row>
    <row r="9" spans="1:6" x14ac:dyDescent="0.3">
      <c r="A9" t="s">
        <v>17</v>
      </c>
      <c r="B9" t="s">
        <v>18</v>
      </c>
      <c r="C9">
        <v>0.32500000000000001</v>
      </c>
    </row>
    <row r="10" spans="1:6" x14ac:dyDescent="0.3">
      <c r="C10">
        <f>(A2+A4)/2</f>
        <v>0.33550000000000002</v>
      </c>
      <c r="D10">
        <f>SQRT(B2^2+B4^2)</f>
        <v>3.1906112267087637E-2</v>
      </c>
    </row>
    <row r="11" spans="1:6" x14ac:dyDescent="0.3">
      <c r="C11">
        <v>0.34</v>
      </c>
      <c r="D11">
        <v>0.03</v>
      </c>
    </row>
  </sheetData>
  <hyperlinks>
    <hyperlink ref="D2" r:id="rId1" xr:uid="{43C03286-1D9B-44E1-8825-08C6D7AD7C2C}"/>
    <hyperlink ref="D3" r:id="rId2" xr:uid="{0DC59C89-D895-4D4A-880F-4D246A9EEB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62B1-430A-4742-A02F-EC1F10D24E58}">
  <dimension ref="A1:D12"/>
  <sheetViews>
    <sheetView workbookViewId="0">
      <selection activeCell="C13" sqref="C13"/>
    </sheetView>
  </sheetViews>
  <sheetFormatPr defaultRowHeight="14.4" x14ac:dyDescent="0.3"/>
  <cols>
    <col min="1" max="1" width="11.21875" bestFit="1" customWidth="1"/>
    <col min="2" max="2" width="12.109375" bestFit="1" customWidth="1"/>
    <col min="3" max="3" width="12.44140625" bestFit="1" customWidth="1"/>
    <col min="4" max="4" width="5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0.68500000000000005</v>
      </c>
      <c r="B2" s="2" t="s">
        <v>19</v>
      </c>
      <c r="C2" t="s">
        <v>13</v>
      </c>
      <c r="D2" s="1" t="s">
        <v>14</v>
      </c>
    </row>
    <row r="3" spans="1:4" x14ac:dyDescent="0.3">
      <c r="A3">
        <v>0.66600000000000004</v>
      </c>
      <c r="B3">
        <v>1.7999999999999999E-2</v>
      </c>
      <c r="C3" t="s">
        <v>16</v>
      </c>
      <c r="D3" s="1" t="s">
        <v>5</v>
      </c>
    </row>
    <row r="10" spans="1:4" x14ac:dyDescent="0.3">
      <c r="A10" s="3" t="s">
        <v>8</v>
      </c>
      <c r="B10" s="3"/>
    </row>
    <row r="11" spans="1:4" x14ac:dyDescent="0.3">
      <c r="A11" s="3" t="s">
        <v>9</v>
      </c>
      <c r="B11" s="3" t="s">
        <v>10</v>
      </c>
      <c r="C11" t="s">
        <v>21</v>
      </c>
    </row>
    <row r="12" spans="1:4" x14ac:dyDescent="0.3">
      <c r="A12" t="s">
        <v>20</v>
      </c>
      <c r="B12" t="s">
        <v>18</v>
      </c>
      <c r="C12">
        <v>0.67500000000000004</v>
      </c>
    </row>
  </sheetData>
  <hyperlinks>
    <hyperlink ref="D2" r:id="rId1" xr:uid="{5F1FEAB1-36AF-485D-A764-7665CB720D12}"/>
    <hyperlink ref="D3" r:id="rId2" xr:uid="{6C6833B9-F028-4EF9-B487-9FEFA674E0C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1163-8263-4050-979E-03584E7BFA03}">
  <dimension ref="A1:C14"/>
  <sheetViews>
    <sheetView workbookViewId="0">
      <selection activeCell="C15" sqref="C15"/>
    </sheetView>
  </sheetViews>
  <sheetFormatPr defaultRowHeight="14.4" x14ac:dyDescent="0.3"/>
  <cols>
    <col min="1" max="1" width="16" bestFit="1" customWidth="1"/>
    <col min="2" max="2" width="10.21875" bestFit="1" customWidth="1"/>
    <col min="3" max="3" width="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12" spans="1:3" x14ac:dyDescent="0.3">
      <c r="A12" s="3" t="s">
        <v>8</v>
      </c>
      <c r="B12" s="3"/>
    </row>
    <row r="13" spans="1:3" x14ac:dyDescent="0.3">
      <c r="A13" s="3" t="s">
        <v>9</v>
      </c>
      <c r="B13" s="3" t="s">
        <v>10</v>
      </c>
      <c r="C13" t="s">
        <v>21</v>
      </c>
    </row>
    <row r="14" spans="1:3" x14ac:dyDescent="0.3">
      <c r="A14" t="s">
        <v>22</v>
      </c>
      <c r="B14" t="s">
        <v>18</v>
      </c>
      <c r="C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H0</vt:lpstr>
      <vt:lpstr>k</vt:lpstr>
      <vt:lpstr>Mass density</vt:lpstr>
      <vt:lpstr>DE density</vt:lpstr>
      <vt:lpstr>LPeak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MILAN L. (Student)</dc:creator>
  <cp:lastModifiedBy>ERDOS, MILAN L. (Student)</cp:lastModifiedBy>
  <dcterms:created xsi:type="dcterms:W3CDTF">2025-02-04T15:25:00Z</dcterms:created>
  <dcterms:modified xsi:type="dcterms:W3CDTF">2025-03-14T01:54:08Z</dcterms:modified>
</cp:coreProperties>
</file>